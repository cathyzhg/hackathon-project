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Coun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pivotButton="0" quotePrefix="0" xfId="0"/>
    <xf numFmtId="0" fontId="3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Habitat Vitality Index (HVI)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'Cities'!H3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'Cities'!$A$4:$A$9</f>
            </numRef>
          </cat>
          <val>
            <numRef>
              <f>'Cities'!$H$4:$H$9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Habitat Vitality Index (HVI)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'Counties'!H3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'Counties'!$A$4:$A$7</f>
            </numRef>
          </cat>
          <val>
            <numRef>
              <f>'Counties'!$H$4:$H$7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ities_tbl" displayName="Cities_tbl" ref="A3:I9" headerRowCount="1">
  <autoFilter ref="A3:I9"/>
  <tableColumns count="9">
    <tableColumn id="1" name="Geography"/>
    <tableColumn id="2" name="Level"/>
    <tableColumn id="3" name="Land area (sq mi, 2020)"/>
    <tableColumn id="4" name="Population density (per sq mi, 2020)"/>
    <tableColumn id="5" name="Tree canopy (%)"/>
    <tableColumn id="6" name="Building coverage (%)"/>
    <tableColumn id="7" name="Road coverage (%)"/>
    <tableColumn id="8" name="Habitat Vitality Index (0-100)"/>
    <tableColumn id="9" name="Sourc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Counties_tbl" displayName="Counties_tbl" ref="A3:I7" headerRowCount="1">
  <autoFilter ref="A3:I7"/>
  <tableColumns count="9">
    <tableColumn id="1" name="Geography"/>
    <tableColumn id="2" name="Level"/>
    <tableColumn id="3" name="Land area (sq mi, 2020)"/>
    <tableColumn id="4" name="Population density (per sq mi, 2020)"/>
    <tableColumn id="5" name="Tree canopy (%)"/>
    <tableColumn id="6" name="Building coverage (%)"/>
    <tableColumn id="7" name="Road coverage (%)"/>
    <tableColumn id="8" name="Habitat Vitality Index (0-100)"/>
    <tableColumn id="9" name="Sourc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</cols>
  <sheetData>
    <row r="1">
      <c r="A1" s="1" t="inlineStr">
        <is>
          <t>Habitat Vitality Index (HVI) weights</t>
        </is>
      </c>
    </row>
    <row r="3">
      <c r="A3" s="2" t="inlineStr">
        <is>
          <t>Metric</t>
        </is>
      </c>
      <c r="B3" s="2" t="inlineStr">
        <is>
          <t>Weight</t>
        </is>
      </c>
      <c r="C3" s="2" t="inlineStr">
        <is>
          <t>Notes</t>
        </is>
      </c>
    </row>
    <row r="4">
      <c r="A4" s="3" t="inlineStr">
        <is>
          <t>Tree canopy (%)</t>
        </is>
      </c>
      <c r="B4" s="4" t="n">
        <v>0.4</v>
      </c>
      <c r="C4" s="3" t="inlineStr">
        <is>
          <t>Higher is better</t>
        </is>
      </c>
    </row>
    <row r="5">
      <c r="A5" s="3" t="inlineStr">
        <is>
          <t>Population density (per sq mi)</t>
        </is>
      </c>
      <c r="B5" s="4" t="n">
        <v>0.2</v>
      </c>
      <c r="C5" s="3" t="inlineStr">
        <is>
          <t>Lower is better (proxy for development pressure)</t>
        </is>
      </c>
    </row>
    <row r="6">
      <c r="A6" s="3" t="inlineStr">
        <is>
          <t>Building coverage (%)</t>
        </is>
      </c>
      <c r="B6" s="4" t="n">
        <v>0.2</v>
      </c>
      <c r="C6" s="3" t="inlineStr">
        <is>
          <t>Lower is better</t>
        </is>
      </c>
    </row>
    <row r="7">
      <c r="A7" s="3" t="inlineStr">
        <is>
          <t>Road coverage (%)</t>
        </is>
      </c>
      <c r="B7" s="4" t="n">
        <v>0.2</v>
      </c>
      <c r="C7" s="3" t="inlineStr">
        <is>
          <t>Lower is better</t>
        </is>
      </c>
    </row>
    <row r="9">
      <c r="A9" s="5" t="inlineStr">
        <is>
          <t>How HVI is calculated</t>
        </is>
      </c>
    </row>
    <row r="10">
      <c r="A10" s="3" t="inlineStr">
        <is>
          <t>Each metric is min-max normalized across the sheet:
  norm(x) = (x - min) / (max - min)
Then HVI = 100 * weighted average of:
  + norm(Tree canopy)
  + (1 - norm(Pop density))
  + (1 - norm(Building %))
  + (1 - norm(Road %))
If a value is blank, its weight is skipped and the remaining weights re-normalize.</t>
        </is>
      </c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</sheetData>
  <mergeCells count="1">
    <mergeCell ref="A10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6" customWidth="1" min="4" max="4"/>
    <col width="14" customWidth="1" min="5" max="5"/>
    <col width="18" customWidth="1" min="6" max="6"/>
    <col width="14" customWidth="1" min="7" max="7"/>
    <col width="24" customWidth="1" min="8" max="8"/>
    <col width="70" customWidth="1" min="9" max="9"/>
  </cols>
  <sheetData>
    <row r="1">
      <c r="A1" s="1" t="inlineStr">
        <is>
          <t>Cities</t>
        </is>
      </c>
    </row>
    <row r="3">
      <c r="A3" s="7" t="inlineStr">
        <is>
          <t>Geography</t>
        </is>
      </c>
      <c r="B3" s="7" t="inlineStr">
        <is>
          <t>Level</t>
        </is>
      </c>
      <c r="C3" s="8" t="inlineStr">
        <is>
          <t>Land area (sq mi, 2020)</t>
        </is>
      </c>
      <c r="D3" s="8" t="inlineStr">
        <is>
          <t>Population density (per sq mi, 2020)</t>
        </is>
      </c>
      <c r="E3" s="8" t="inlineStr">
        <is>
          <t>Tree canopy (%)</t>
        </is>
      </c>
      <c r="F3" s="8" t="inlineStr">
        <is>
          <t>Building coverage (%)</t>
        </is>
      </c>
      <c r="G3" s="8" t="inlineStr">
        <is>
          <t>Road coverage (%)</t>
        </is>
      </c>
      <c r="H3" s="8" t="inlineStr">
        <is>
          <t>Habitat Vitality Index (0-100)</t>
        </is>
      </c>
      <c r="I3" s="7" t="inlineStr">
        <is>
          <t>Sources</t>
        </is>
      </c>
    </row>
    <row r="4">
      <c r="A4" s="3" t="inlineStr">
        <is>
          <t>Bellevue (City)</t>
        </is>
      </c>
      <c r="B4" s="3" t="inlineStr">
        <is>
          <t>City</t>
        </is>
      </c>
      <c r="C4" s="9" t="n">
        <v>33.46</v>
      </c>
      <c r="D4" s="10" t="n">
        <v>4538.2</v>
      </c>
      <c r="E4" s="10" t="n">
        <v>37</v>
      </c>
      <c r="F4" s="10" t="n">
        <v>12</v>
      </c>
      <c r="G4" s="10" t="n">
        <v>9</v>
      </c>
      <c r="H4" s="10">
        <f>LET(tree,E4,pop,D4,bld,F4,road,G4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4" s="3" t="inlineStr">
        <is>
          <t>Pop/Land area: https://www.census.gov/quickfacts/fact/table/bellevuecitywashington/PST045224
Tree canopy &amp; land cover: https://kingcd.org/wp-content/uploads/2021/05/Bellevue-WA-Tree-Canopy-Assessment-Report-2018.pdf</t>
        </is>
      </c>
    </row>
    <row r="5">
      <c r="A5" s="3" t="inlineStr">
        <is>
          <t>Seattle (City)</t>
        </is>
      </c>
      <c r="B5" s="3" t="inlineStr">
        <is>
          <t>City</t>
        </is>
      </c>
      <c r="C5" s="9" t="n">
        <v>83.83</v>
      </c>
      <c r="D5" s="10" t="n">
        <v>8791.799999999999</v>
      </c>
      <c r="E5" s="10" t="n">
        <v>28.6</v>
      </c>
      <c r="F5" s="10" t="inlineStr"/>
      <c r="G5" s="10" t="inlineStr"/>
      <c r="H5" s="10">
        <f>LET(tree,E5,pop,D5,bld,F5,road,G5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5" s="3" t="inlineStr">
        <is>
          <t>Pop/Land area: https://www.census.gov/quickfacts/fact/table/seattlecitywashington/PST045224
Canopy: Seattle Tree Canopy Assessment 2021 (reports 28.6% canopy in 2016 baseline): https://seattle.gov/documents/Departments/OSE/Urban%20Forestry/2021%20Tree%20Canopy%20Assessment%20Report_FINAL_230227.pdf</t>
        </is>
      </c>
    </row>
    <row r="6">
      <c r="A6" s="3" t="inlineStr">
        <is>
          <t>Issaquah (City)</t>
        </is>
      </c>
      <c r="B6" s="3" t="inlineStr">
        <is>
          <t>City</t>
        </is>
      </c>
      <c r="C6" s="9" t="n">
        <v>12.13</v>
      </c>
      <c r="D6" s="10" t="n">
        <v>3301.8</v>
      </c>
      <c r="E6" s="10" t="n">
        <v>51</v>
      </c>
      <c r="F6" s="10" t="n">
        <v>8</v>
      </c>
      <c r="G6" s="10" t="n">
        <v>6</v>
      </c>
      <c r="H6" s="10">
        <f>LET(tree,E6,pop,D6,bld,F6,road,G6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6" s="3" t="inlineStr">
        <is>
          <t>Pop/Land area: https://www.census.gov/quickfacts/fact/table/issaquahcitywashington/PST045224
Tree canopy &amp; land cover: https://kingcd.org/wp-content/uploads/2021/05/Issaquah-WA-Tree-Canopy-Assessment-Report-2019.pdf</t>
        </is>
      </c>
    </row>
    <row r="7">
      <c r="A7" s="3" t="inlineStr">
        <is>
          <t>Renton (City)</t>
        </is>
      </c>
      <c r="B7" s="3" t="inlineStr">
        <is>
          <t>City</t>
        </is>
      </c>
      <c r="C7" s="9" t="n">
        <v>23.47</v>
      </c>
      <c r="D7" s="10" t="n">
        <v>4549.1</v>
      </c>
      <c r="E7" s="10" t="n">
        <v>29.3</v>
      </c>
      <c r="F7" s="10" t="n">
        <v>12</v>
      </c>
      <c r="G7" s="10" t="inlineStr"/>
      <c r="H7" s="10">
        <f>LET(tree,E7,pop,D7,bld,F7,road,G7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7" s="3" t="inlineStr">
        <is>
          <t>Pop/Land area: https://www.census.gov/quickfacts/fact/table/rentoncitywashington/PST045225
Tree canopy &amp; land cover: https://kingcd.org/wp-content/uploads/2021/05/Renton-WA-Tree-Canopy-Assessment-Report-2018.pdf</t>
        </is>
      </c>
    </row>
    <row r="8">
      <c r="A8" s="3" t="inlineStr">
        <is>
          <t>Mercer Island (City)</t>
        </is>
      </c>
      <c r="B8" s="3" t="inlineStr">
        <is>
          <t>City</t>
        </is>
      </c>
      <c r="C8" s="9" t="n">
        <v>6.38</v>
      </c>
      <c r="D8" s="10" t="n">
        <v>4033.8</v>
      </c>
      <c r="E8" s="10" t="n">
        <v>48</v>
      </c>
      <c r="F8" s="10" t="n">
        <v>11</v>
      </c>
      <c r="G8" s="10" t="n">
        <v>6</v>
      </c>
      <c r="H8" s="10">
        <f>LET(tree,E8,pop,D8,bld,F8,road,G8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8" s="3" t="inlineStr">
        <is>
          <t>Pop/Land area: https://www.census.gov/quickfacts/fact/table/mercerislandcitywashington/POP010210
Tree canopy &amp; land cover: https://kingcd.org/wp-content/uploads/2021/05/Mercer-Island-WA-Tree-Canopy-Assessment-Report-2018.pdf</t>
        </is>
      </c>
    </row>
    <row r="9">
      <c r="A9" s="3" t="inlineStr">
        <is>
          <t>Newcastle (City)</t>
        </is>
      </c>
      <c r="B9" s="3" t="inlineStr">
        <is>
          <t>City</t>
        </is>
      </c>
      <c r="C9" s="9" t="n">
        <v>4.45</v>
      </c>
      <c r="D9" s="10" t="n">
        <v>2925.8</v>
      </c>
      <c r="E9" s="10" t="n">
        <v>47</v>
      </c>
      <c r="F9" s="10" t="n">
        <v>3</v>
      </c>
      <c r="G9" s="10" t="n">
        <v>2</v>
      </c>
      <c r="H9" s="10">
        <f>LET(tree,E9,pop,D9,bld,F9,road,G9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9" s="3" t="inlineStr">
        <is>
          <t>Pop/Land area: https://www.census.gov/quickfacts/fact/table/newcastlecitywashington/RTN130222
Tree canopy &amp; land cover: https://kingcd.org/wp-content/uploads/2021/05/Newcastle-WA-Tree-Canopy-Assessment-Report-2018.pdf</t>
        </is>
      </c>
    </row>
  </sheetData>
  <conditionalFormatting sqref="H4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6" customWidth="1" min="4" max="4"/>
    <col width="14" customWidth="1" min="5" max="5"/>
    <col width="18" customWidth="1" min="6" max="6"/>
    <col width="14" customWidth="1" min="7" max="7"/>
    <col width="24" customWidth="1" min="8" max="8"/>
    <col width="70" customWidth="1" min="9" max="9"/>
  </cols>
  <sheetData>
    <row r="1">
      <c r="A1" s="1" t="inlineStr">
        <is>
          <t>Counties</t>
        </is>
      </c>
    </row>
    <row r="3">
      <c r="A3" s="7" t="inlineStr">
        <is>
          <t>Geography</t>
        </is>
      </c>
      <c r="B3" s="7" t="inlineStr">
        <is>
          <t>Level</t>
        </is>
      </c>
      <c r="C3" s="8" t="inlineStr">
        <is>
          <t>Land area (sq mi, 2020)</t>
        </is>
      </c>
      <c r="D3" s="8" t="inlineStr">
        <is>
          <t>Population density (per sq mi, 2020)</t>
        </is>
      </c>
      <c r="E3" s="8" t="inlineStr">
        <is>
          <t>Tree canopy (%)</t>
        </is>
      </c>
      <c r="F3" s="8" t="inlineStr">
        <is>
          <t>Building coverage (%)</t>
        </is>
      </c>
      <c r="G3" s="8" t="inlineStr">
        <is>
          <t>Road coverage (%)</t>
        </is>
      </c>
      <c r="H3" s="8" t="inlineStr">
        <is>
          <t>Habitat Vitality Index (0-100)</t>
        </is>
      </c>
      <c r="I3" s="7" t="inlineStr">
        <is>
          <t>Sources</t>
        </is>
      </c>
    </row>
    <row r="4">
      <c r="A4" s="3" t="inlineStr">
        <is>
          <t>King County</t>
        </is>
      </c>
      <c r="B4" s="3" t="inlineStr">
        <is>
          <t>County</t>
        </is>
      </c>
      <c r="C4" s="9" t="n">
        <v>2115.23</v>
      </c>
      <c r="D4" s="10" t="n">
        <v>1073</v>
      </c>
      <c r="E4" s="10" t="n">
        <v>55.9</v>
      </c>
      <c r="F4" s="10" t="inlineStr"/>
      <c r="G4" s="10" t="inlineStr"/>
      <c r="H4" s="10">
        <f>LET(tree,E4,pop,D4,bld,F4,road,G4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4" s="3" t="inlineStr">
        <is>
          <t>Pop/Land area: https://www.census.gov/quickfacts/fact/table/kingcountywashington/PST045224
Tree canopy: https://www.psrc.org/our-work/equity/equity-tracker/environment/tree-canopy-cover</t>
        </is>
      </c>
    </row>
    <row r="5">
      <c r="A5" s="3" t="inlineStr">
        <is>
          <t>Snohomish County</t>
        </is>
      </c>
      <c r="B5" s="3" t="inlineStr">
        <is>
          <t>County</t>
        </is>
      </c>
      <c r="C5" s="9" t="n">
        <v>2086.53</v>
      </c>
      <c r="D5" s="10" t="n">
        <v>396.8</v>
      </c>
      <c r="E5" s="10" t="n">
        <v>55.8</v>
      </c>
      <c r="F5" s="10" t="inlineStr"/>
      <c r="G5" s="10" t="inlineStr"/>
      <c r="H5" s="10">
        <f>LET(tree,E5,pop,D5,bld,F5,road,G5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5" s="3" t="inlineStr">
        <is>
          <t>Pop/Land area: https://www.census.gov/quickfacts/fact/table/snohomishcountywashington/PST045224
Tree canopy: https://www.psrc.org/our-work/equity/equity-tracker/environment/tree-canopy-cover</t>
        </is>
      </c>
    </row>
    <row r="6">
      <c r="A6" s="3" t="inlineStr">
        <is>
          <t>Kitsap County</t>
        </is>
      </c>
      <c r="B6" s="3" t="inlineStr">
        <is>
          <t>County</t>
        </is>
      </c>
      <c r="C6" s="9" t="n">
        <v>395.1</v>
      </c>
      <c r="D6" s="10" t="n">
        <v>697.6</v>
      </c>
      <c r="E6" s="10" t="n">
        <v>54.1</v>
      </c>
      <c r="F6" s="10" t="inlineStr"/>
      <c r="G6" s="10" t="inlineStr"/>
      <c r="H6" s="10">
        <f>LET(tree,E6,pop,D6,bld,F6,road,G6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6" s="3" t="inlineStr">
        <is>
          <t>Pop/Land area: https://www.census.gov/quickfacts/fact/table/kitsapcountywashington/POP815224
Tree canopy: https://www.psrc.org/our-work/equity/equity-tracker/environment/tree-canopy-cover</t>
        </is>
      </c>
    </row>
    <row r="7">
      <c r="A7" s="3" t="inlineStr">
        <is>
          <t>Pierce County</t>
        </is>
      </c>
      <c r="B7" s="3" t="inlineStr">
        <is>
          <t>County</t>
        </is>
      </c>
      <c r="C7" s="9" t="n">
        <v>1667.96</v>
      </c>
      <c r="D7" s="10" t="n">
        <v>552.2</v>
      </c>
      <c r="E7" s="10" t="n">
        <v>50.6</v>
      </c>
      <c r="F7" s="10" t="inlineStr"/>
      <c r="G7" s="10" t="inlineStr"/>
      <c r="H7" s="10">
        <f>LET(tree,E7,pop,D7,bld,F7,road,G7,wTree,Weights!$B$4,wPop,Weights!$B$5,wBld,Weights!$B$6,wRoad,Weights!$B$7,treeMin,MIN(FILTER($E$4:$E$200,$E$4:$E$200&lt;&gt;"")),treeMax,MAX(FILTER($E$4:$E$200,$E$4:$E$200&lt;&gt;"")),popMin,MIN(FILTER($D$4:$D$200,$D$4:$D$200&lt;&gt;"")),popMax,MAX(FILTER($D$4:$D$200,$D$4:$D$200&lt;&gt;"")),bldMin,MIN(FILTER($F$4:$F$200,$F$4:$F$200&lt;&gt;"")),bldMax,MAX(FILTER($F$4:$F$200,$F$4:$F$200&lt;&gt;"")),roadMin,MIN(FILTER($G$4:$G$200,$G$4:$G$200&lt;&gt;"")),roadMax,MAX(FILTER($G$4:$G$200,$G$4:$G$200&lt;&gt;"")),treeN,IF(tree="",, (tree-treeMin)/(treeMax-treeMin)),popN,IF(pop="",, (pop-popMin)/(popMax-popMin)),bldN,IF(bld="",, (bld-bldMin)/(bldMax-bldMin)),roadN,IF(road="",, (road-roadMin)/(roadMax-roadMin)),den,IF(tree="",0,wTree)+IF(pop="",0,wPop)+IF(bld="",0,wBld)+IF(road="",0,wRoad),num,IF(tree="",0,wTree*treeN)+IF(pop="",0,wPop*(1-popN))+IF(bld="",0,wBld*(1-bldN))+IF(road="",0,wRoad*(1-roadN)),IF(den=0,"",ROUND(100*num/den,1)))</f>
        <v/>
      </c>
      <c r="I7" s="3" t="inlineStr">
        <is>
          <t>Pop/Land area: https://www.census.gov/quickfacts/fact/table/piercecountywashington/LND110210
Tree canopy: https://www.psrc.org/our-work/equity/equity-tracker/environment/tree-canopy-cover</t>
        </is>
      </c>
    </row>
  </sheetData>
  <conditionalFormatting sqref="H4:H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2026-02-21T23:21:12Z</dcterms:created>
  <dcterms:modified xmlns:dcterms="http://purl.org/dc/terms/" xmlns:xsi="http://www.w3.org/2001/XMLSchema-instance" xsi:type="dcterms:W3CDTF">2026-02-21T23:21:12Z</dcterms:modified>
</cp:coreProperties>
</file>